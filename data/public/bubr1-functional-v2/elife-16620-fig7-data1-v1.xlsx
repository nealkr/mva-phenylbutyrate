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\\Ressrv06\pedia\VANDEUR\SHARED\  JVD PAPERS\WEAVER\02. BUBR1_CDC20 JVD\eLIFE\eLIFE R1\Source Files\"/>
    </mc:Choice>
  </mc:AlternateContent>
  <bookViews>
    <workbookView xWindow="225" yWindow="7635" windowWidth="25605" windowHeight="19020" tabRatio="694"/>
  </bookViews>
  <sheets>
    <sheet name="Figure_7_source_data" sheetId="10" r:id="rId1"/>
  </sheets>
  <calcPr calcId="152511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26" i="10" l="1"/>
  <c r="F26" i="10"/>
  <c r="E26" i="10"/>
  <c r="D26" i="10"/>
  <c r="G14" i="10"/>
  <c r="F14" i="10"/>
  <c r="E14" i="10"/>
  <c r="D14" i="10"/>
  <c r="G24" i="10"/>
  <c r="G25" i="10" s="1"/>
  <c r="F24" i="10"/>
  <c r="F25" i="10" s="1"/>
  <c r="E24" i="10"/>
  <c r="E25" i="10" s="1"/>
  <c r="D24" i="10"/>
  <c r="D25" i="10" s="1"/>
  <c r="C24" i="10"/>
  <c r="C25" i="10" s="1"/>
  <c r="G23" i="10"/>
  <c r="F23" i="10"/>
  <c r="E23" i="10"/>
  <c r="D23" i="10"/>
  <c r="C23" i="10"/>
  <c r="D11" i="10"/>
  <c r="E11" i="10"/>
  <c r="F11" i="10"/>
  <c r="G11" i="10"/>
  <c r="D12" i="10"/>
  <c r="E12" i="10"/>
  <c r="E13" i="10" s="1"/>
  <c r="F12" i="10"/>
  <c r="G12" i="10"/>
  <c r="G13" i="10" s="1"/>
  <c r="C12" i="10"/>
  <c r="C13" i="10" s="1"/>
  <c r="C11" i="10"/>
  <c r="D13" i="10"/>
  <c r="F13" i="10"/>
</calcChain>
</file>

<file path=xl/sharedStrings.xml><?xml version="1.0" encoding="utf-8"?>
<sst xmlns="http://schemas.openxmlformats.org/spreadsheetml/2006/main" count="22" uniqueCount="13">
  <si>
    <t>Wild-type</t>
  </si>
  <si>
    <t>SD</t>
  </si>
  <si>
    <t>SEM</t>
  </si>
  <si>
    <t>AVG</t>
  </si>
  <si>
    <t>p value relative to WT (two-tailed, unpaired T-test)</t>
  </si>
  <si>
    <t>Figure 7 – Source data</t>
  </si>
  <si>
    <t>Figure 7B</t>
  </si>
  <si>
    <t>Misalignments (%) – Vehicle</t>
  </si>
  <si>
    <t>Misalignments (%) – 10 nM AZD</t>
  </si>
  <si>
    <r>
      <t>FL-</t>
    </r>
    <r>
      <rPr>
        <i/>
        <sz val="12"/>
        <color theme="1"/>
        <rFont val="Arial"/>
        <family val="2"/>
      </rPr>
      <t>Bub1b</t>
    </r>
  </si>
  <si>
    <r>
      <t>Bub1b</t>
    </r>
    <r>
      <rPr>
        <vertAlign val="superscript"/>
        <sz val="12"/>
        <color rgb="FF000000"/>
        <rFont val="Arial"/>
        <family val="2"/>
      </rPr>
      <t>ΔI</t>
    </r>
  </si>
  <si>
    <r>
      <t>Bub1b</t>
    </r>
    <r>
      <rPr>
        <vertAlign val="superscript"/>
        <sz val="12"/>
        <color rgb="FF000000"/>
        <rFont val="Arial"/>
        <family val="2"/>
      </rPr>
      <t>ΔN</t>
    </r>
  </si>
  <si>
    <r>
      <t>Bub1b</t>
    </r>
    <r>
      <rPr>
        <vertAlign val="superscript"/>
        <sz val="12"/>
        <color rgb="FF000000"/>
        <rFont val="Arial"/>
        <family val="2"/>
      </rPr>
      <t>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</si>
</sst>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0"/>
    <numFmt numFmtId="165" formatCode="0.00000"/>
    <numFmt numFmtId="166" formatCode="0.0"/>
  </numFmts>
  <fonts count="9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i/>
      <sz val="12"/>
      <color theme="1"/>
      <name val="Arial"/>
      <family val="2"/>
    </font>
    <font>
      <i/>
      <sz val="12"/>
      <color rgb="FF000000"/>
      <name val="Arial"/>
      <family val="2"/>
    </font>
    <font>
      <vertAlign val="superscript"/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93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27">
    <xf numFmtId="0" fontId="0" fillId="0" borderId="0" xfId="0"/>
    <xf numFmtId="0" fontId="3" fillId="0" borderId="0" xfId="0" applyFont="1"/>
    <xf numFmtId="0" fontId="5" fillId="0" borderId="4" xfId="0" applyFont="1" applyBorder="1" applyAlignment="1">
      <alignment wrapText="1"/>
    </xf>
    <xf numFmtId="0" fontId="3" fillId="0" borderId="4" xfId="0" applyFont="1" applyBorder="1" applyAlignment="1">
      <alignment horizontal="right" wrapText="1"/>
    </xf>
    <xf numFmtId="0" fontId="4" fillId="0" borderId="0" xfId="0" applyFont="1"/>
    <xf numFmtId="0" fontId="5" fillId="0" borderId="0" xfId="0" applyFont="1"/>
    <xf numFmtId="0" fontId="4" fillId="0" borderId="1" xfId="0" applyFont="1" applyBorder="1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4" fillId="0" borderId="6" xfId="0" applyFont="1" applyBorder="1" applyAlignment="1">
      <alignment horizontal="right" wrapText="1"/>
    </xf>
    <xf numFmtId="0" fontId="5" fillId="0" borderId="0" xfId="0" applyFont="1" applyAlignment="1">
      <alignment horizontal="center"/>
    </xf>
    <xf numFmtId="0" fontId="5" fillId="0" borderId="2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164" fontId="5" fillId="0" borderId="0" xfId="0" applyNumberFormat="1" applyFont="1" applyBorder="1" applyAlignment="1">
      <alignment horizontal="center"/>
    </xf>
    <xf numFmtId="164" fontId="5" fillId="0" borderId="5" xfId="0" applyNumberFormat="1" applyFont="1" applyBorder="1" applyAlignment="1">
      <alignment horizontal="center"/>
    </xf>
    <xf numFmtId="164" fontId="3" fillId="0" borderId="0" xfId="0" applyNumberFormat="1" applyFont="1" applyBorder="1" applyAlignment="1">
      <alignment horizontal="center"/>
    </xf>
    <xf numFmtId="164" fontId="3" fillId="0" borderId="5" xfId="0" applyNumberFormat="1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165" fontId="4" fillId="0" borderId="8" xfId="0" applyNumberFormat="1" applyFont="1" applyBorder="1" applyAlignment="1">
      <alignment horizontal="center"/>
    </xf>
    <xf numFmtId="2" fontId="5" fillId="0" borderId="0" xfId="0" applyNumberFormat="1" applyFont="1" applyBorder="1" applyAlignment="1">
      <alignment horizontal="center"/>
    </xf>
    <xf numFmtId="2" fontId="5" fillId="0" borderId="5" xfId="0" applyNumberFormat="1" applyFont="1" applyBorder="1" applyAlignment="1">
      <alignment horizontal="center"/>
    </xf>
    <xf numFmtId="166" fontId="5" fillId="0" borderId="0" xfId="0" applyNumberFormat="1" applyFont="1" applyBorder="1" applyAlignment="1">
      <alignment horizontal="center"/>
    </xf>
    <xf numFmtId="166" fontId="5" fillId="0" borderId="5" xfId="0" applyNumberFormat="1" applyFont="1" applyBorder="1" applyAlignment="1">
      <alignment horizontal="center"/>
    </xf>
    <xf numFmtId="2" fontId="3" fillId="0" borderId="0" xfId="0" applyNumberFormat="1" applyFont="1" applyBorder="1" applyAlignment="1">
      <alignment horizontal="center"/>
    </xf>
    <xf numFmtId="2" fontId="3" fillId="0" borderId="5" xfId="0" applyNumberFormat="1" applyFont="1" applyBorder="1" applyAlignment="1">
      <alignment horizontal="center"/>
    </xf>
  </cellXfs>
  <cellStyles count="9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6"/>
  <sheetViews>
    <sheetView tabSelected="1" workbookViewId="0">
      <selection activeCell="C16" sqref="C16:G16"/>
    </sheetView>
  </sheetViews>
  <sheetFormatPr defaultRowHeight="15" x14ac:dyDescent="0.2"/>
  <cols>
    <col min="1" max="1" width="27.5" style="5" bestFit="1" customWidth="1"/>
    <col min="2" max="2" width="34" style="8" customWidth="1"/>
    <col min="3" max="3" width="9.25" style="10" bestFit="1" customWidth="1"/>
    <col min="4" max="4" width="10.75" style="10" bestFit="1" customWidth="1"/>
    <col min="5" max="5" width="13.875" style="10" bestFit="1" customWidth="1"/>
    <col min="6" max="6" width="14.5" style="10" bestFit="1" customWidth="1"/>
    <col min="7" max="7" width="13.375" style="10" bestFit="1" customWidth="1"/>
    <col min="8" max="16384" width="9" style="5"/>
  </cols>
  <sheetData>
    <row r="1" spans="1:7" ht="15.75" x14ac:dyDescent="0.25">
      <c r="A1" s="4" t="s">
        <v>5</v>
      </c>
      <c r="B1" s="7"/>
    </row>
    <row r="4" spans="1:7" ht="18.75" x14ac:dyDescent="0.25">
      <c r="A4" s="4" t="s">
        <v>6</v>
      </c>
      <c r="B4" s="6" t="s">
        <v>7</v>
      </c>
      <c r="C4" s="11" t="s">
        <v>0</v>
      </c>
      <c r="D4" s="11" t="s">
        <v>9</v>
      </c>
      <c r="E4" s="12" t="s">
        <v>10</v>
      </c>
      <c r="F4" s="12" t="s">
        <v>11</v>
      </c>
      <c r="G4" s="13" t="s">
        <v>12</v>
      </c>
    </row>
    <row r="5" spans="1:7" x14ac:dyDescent="0.2">
      <c r="B5" s="2"/>
      <c r="C5" s="23">
        <v>4</v>
      </c>
      <c r="D5" s="23">
        <v>4</v>
      </c>
      <c r="E5" s="23">
        <v>8</v>
      </c>
      <c r="F5" s="23">
        <v>0</v>
      </c>
      <c r="G5" s="24">
        <v>8</v>
      </c>
    </row>
    <row r="6" spans="1:7" x14ac:dyDescent="0.2">
      <c r="B6" s="2"/>
      <c r="C6" s="23">
        <v>8</v>
      </c>
      <c r="D6" s="23">
        <v>0</v>
      </c>
      <c r="E6" s="23">
        <v>8</v>
      </c>
      <c r="F6" s="23">
        <v>4</v>
      </c>
      <c r="G6" s="24">
        <v>8</v>
      </c>
    </row>
    <row r="7" spans="1:7" x14ac:dyDescent="0.2">
      <c r="B7" s="2"/>
      <c r="C7" s="23">
        <v>0</v>
      </c>
      <c r="D7" s="23">
        <v>4</v>
      </c>
      <c r="E7" s="23">
        <v>8</v>
      </c>
      <c r="F7" s="23">
        <v>0</v>
      </c>
      <c r="G7" s="24">
        <v>4</v>
      </c>
    </row>
    <row r="8" spans="1:7" x14ac:dyDescent="0.2">
      <c r="B8" s="2"/>
      <c r="C8" s="23">
        <v>4</v>
      </c>
      <c r="D8" s="23">
        <v>4</v>
      </c>
      <c r="E8" s="23">
        <v>4</v>
      </c>
      <c r="F8" s="23">
        <v>12</v>
      </c>
      <c r="G8" s="24">
        <v>4</v>
      </c>
    </row>
    <row r="9" spans="1:7" x14ac:dyDescent="0.2">
      <c r="B9" s="2"/>
      <c r="C9" s="23">
        <v>4</v>
      </c>
      <c r="D9" s="23">
        <v>4</v>
      </c>
      <c r="E9" s="23">
        <v>4</v>
      </c>
      <c r="F9" s="23">
        <v>12</v>
      </c>
      <c r="G9" s="24">
        <v>8</v>
      </c>
    </row>
    <row r="10" spans="1:7" x14ac:dyDescent="0.2">
      <c r="B10" s="2"/>
      <c r="C10" s="23">
        <v>4</v>
      </c>
      <c r="D10" s="23">
        <v>0</v>
      </c>
      <c r="E10" s="23">
        <v>4</v>
      </c>
      <c r="F10" s="23">
        <v>8</v>
      </c>
      <c r="G10" s="24">
        <v>8</v>
      </c>
    </row>
    <row r="11" spans="1:7" x14ac:dyDescent="0.2">
      <c r="B11" s="3" t="s">
        <v>3</v>
      </c>
      <c r="C11" s="23">
        <f>AVERAGE(C5:C10)</f>
        <v>4</v>
      </c>
      <c r="D11" s="23">
        <f t="shared" ref="D11:G11" si="0">AVERAGE(D5:D10)</f>
        <v>2.6666666666666665</v>
      </c>
      <c r="E11" s="23">
        <f t="shared" si="0"/>
        <v>6</v>
      </c>
      <c r="F11" s="23">
        <f t="shared" si="0"/>
        <v>6</v>
      </c>
      <c r="G11" s="24">
        <f t="shared" si="0"/>
        <v>6.666666666666667</v>
      </c>
    </row>
    <row r="12" spans="1:7" x14ac:dyDescent="0.2">
      <c r="B12" s="3" t="s">
        <v>1</v>
      </c>
      <c r="C12" s="21">
        <f>STDEV(C5:C10)</f>
        <v>2.5298221281347035</v>
      </c>
      <c r="D12" s="21">
        <f t="shared" ref="D12:G12" si="1">STDEV(D5:D10)</f>
        <v>2.0655911179772892</v>
      </c>
      <c r="E12" s="21">
        <f t="shared" si="1"/>
        <v>2.1908902300206643</v>
      </c>
      <c r="F12" s="21">
        <f t="shared" si="1"/>
        <v>5.5136195008360884</v>
      </c>
      <c r="G12" s="22">
        <f t="shared" si="1"/>
        <v>2.0655911179772883</v>
      </c>
    </row>
    <row r="13" spans="1:7" x14ac:dyDescent="0.2">
      <c r="B13" s="3" t="s">
        <v>2</v>
      </c>
      <c r="C13" s="25">
        <f>C12/(SQRT(6))</f>
        <v>1.0327955589886446</v>
      </c>
      <c r="D13" s="25">
        <f t="shared" ref="D13:G13" si="2">D12/(SQRT(6))</f>
        <v>0.84327404271156803</v>
      </c>
      <c r="E13" s="25">
        <f t="shared" si="2"/>
        <v>0.89442719099991586</v>
      </c>
      <c r="F13" s="25">
        <f t="shared" si="2"/>
        <v>2.2509257354845511</v>
      </c>
      <c r="G13" s="26">
        <f t="shared" si="2"/>
        <v>0.84327404271156758</v>
      </c>
    </row>
    <row r="14" spans="1:7" s="4" customFormat="1" ht="31.5" x14ac:dyDescent="0.25">
      <c r="B14" s="9" t="s">
        <v>4</v>
      </c>
      <c r="C14" s="18"/>
      <c r="D14" s="19">
        <f>TTEST(D5:D10,C5:C10,2,2)</f>
        <v>0.34089313230205975</v>
      </c>
      <c r="E14" s="19">
        <f>TTEST(E5:E10,C5:C10,2,2)</f>
        <v>0.17394837931045487</v>
      </c>
      <c r="F14" s="19">
        <f>TTEST(F5:F10,C5:C10,2,2)</f>
        <v>0.43812386557421656</v>
      </c>
      <c r="G14" s="20">
        <f>TTEST(G5:G10,C5:C10,2,2)</f>
        <v>7.3388034770740407E-2</v>
      </c>
    </row>
    <row r="16" spans="1:7" ht="18.75" x14ac:dyDescent="0.25">
      <c r="A16" s="1"/>
      <c r="B16" s="6" t="s">
        <v>8</v>
      </c>
      <c r="C16" s="11" t="s">
        <v>0</v>
      </c>
      <c r="D16" s="11" t="s">
        <v>9</v>
      </c>
      <c r="E16" s="12" t="s">
        <v>10</v>
      </c>
      <c r="F16" s="12" t="s">
        <v>11</v>
      </c>
      <c r="G16" s="13" t="s">
        <v>12</v>
      </c>
    </row>
    <row r="17" spans="1:7" x14ac:dyDescent="0.2">
      <c r="A17" s="1"/>
      <c r="B17" s="2"/>
      <c r="C17" s="23">
        <v>16</v>
      </c>
      <c r="D17" s="23">
        <v>12</v>
      </c>
      <c r="E17" s="23">
        <v>16</v>
      </c>
      <c r="F17" s="23">
        <v>16</v>
      </c>
      <c r="G17" s="24">
        <v>16</v>
      </c>
    </row>
    <row r="18" spans="1:7" x14ac:dyDescent="0.2">
      <c r="A18" s="1"/>
      <c r="B18" s="2"/>
      <c r="C18" s="23">
        <v>24</v>
      </c>
      <c r="D18" s="23">
        <v>12</v>
      </c>
      <c r="E18" s="23">
        <v>16</v>
      </c>
      <c r="F18" s="23">
        <v>24</v>
      </c>
      <c r="G18" s="24">
        <v>24</v>
      </c>
    </row>
    <row r="19" spans="1:7" x14ac:dyDescent="0.2">
      <c r="B19" s="2"/>
      <c r="C19" s="23">
        <v>20</v>
      </c>
      <c r="D19" s="23">
        <v>16</v>
      </c>
      <c r="E19" s="23">
        <v>12</v>
      </c>
      <c r="F19" s="23">
        <v>12</v>
      </c>
      <c r="G19" s="24">
        <v>16</v>
      </c>
    </row>
    <row r="20" spans="1:7" x14ac:dyDescent="0.2">
      <c r="B20" s="2"/>
      <c r="C20" s="23">
        <v>16</v>
      </c>
      <c r="D20" s="23">
        <v>12</v>
      </c>
      <c r="E20" s="23">
        <v>16</v>
      </c>
      <c r="F20" s="23">
        <v>16</v>
      </c>
      <c r="G20" s="24">
        <v>12</v>
      </c>
    </row>
    <row r="21" spans="1:7" x14ac:dyDescent="0.2">
      <c r="B21" s="2"/>
      <c r="C21" s="23">
        <v>24</v>
      </c>
      <c r="D21" s="23">
        <v>8</v>
      </c>
      <c r="E21" s="23">
        <v>12</v>
      </c>
      <c r="F21" s="23">
        <v>24</v>
      </c>
      <c r="G21" s="24">
        <v>16</v>
      </c>
    </row>
    <row r="22" spans="1:7" ht="15.75" x14ac:dyDescent="0.25">
      <c r="A22" s="4"/>
      <c r="B22" s="2"/>
      <c r="C22" s="23">
        <v>20</v>
      </c>
      <c r="D22" s="23">
        <v>16</v>
      </c>
      <c r="E22" s="23">
        <v>16</v>
      </c>
      <c r="F22" s="23">
        <v>20</v>
      </c>
      <c r="G22" s="24">
        <v>16</v>
      </c>
    </row>
    <row r="23" spans="1:7" x14ac:dyDescent="0.2">
      <c r="B23" s="3" t="s">
        <v>3</v>
      </c>
      <c r="C23" s="23">
        <f>AVERAGE(C17:C22)</f>
        <v>20</v>
      </c>
      <c r="D23" s="23">
        <f t="shared" ref="D23" si="3">AVERAGE(D17:D22)</f>
        <v>12.666666666666666</v>
      </c>
      <c r="E23" s="23">
        <f t="shared" ref="E23" si="4">AVERAGE(E17:E22)</f>
        <v>14.666666666666666</v>
      </c>
      <c r="F23" s="23">
        <f t="shared" ref="F23" si="5">AVERAGE(F17:F22)</f>
        <v>18.666666666666668</v>
      </c>
      <c r="G23" s="24">
        <f t="shared" ref="G23" si="6">AVERAGE(G17:G22)</f>
        <v>16.666666666666668</v>
      </c>
    </row>
    <row r="24" spans="1:7" x14ac:dyDescent="0.2">
      <c r="B24" s="3" t="s">
        <v>1</v>
      </c>
      <c r="C24" s="14">
        <f>STDEV(C17:C22)</f>
        <v>3.5777087639996634</v>
      </c>
      <c r="D24" s="14">
        <f t="shared" ref="D24:G24" si="7">STDEV(D17:D22)</f>
        <v>3.0110906108363249</v>
      </c>
      <c r="E24" s="14">
        <f t="shared" si="7"/>
        <v>2.0655911179772852</v>
      </c>
      <c r="F24" s="14">
        <f t="shared" si="7"/>
        <v>4.8442405665559898</v>
      </c>
      <c r="G24" s="15">
        <f t="shared" si="7"/>
        <v>3.9327683210006983</v>
      </c>
    </row>
    <row r="25" spans="1:7" x14ac:dyDescent="0.2">
      <c r="B25" s="3" t="s">
        <v>2</v>
      </c>
      <c r="C25" s="16">
        <f>C24/(SQRT(6))</f>
        <v>1.4605934866804431</v>
      </c>
      <c r="D25" s="16">
        <f t="shared" ref="D25" si="8">D24/(SQRT(6))</f>
        <v>1.2292725943057188</v>
      </c>
      <c r="E25" s="16">
        <f t="shared" ref="E25" si="9">E24/(SQRT(6))</f>
        <v>0.84327404271156636</v>
      </c>
      <c r="F25" s="16">
        <f t="shared" ref="F25" si="10">F24/(SQRT(6))</f>
        <v>1.9776529298921783</v>
      </c>
      <c r="G25" s="17">
        <f t="shared" ref="G25" si="11">G24/(SQRT(6))</f>
        <v>1.6055459438389721</v>
      </c>
    </row>
    <row r="26" spans="1:7" s="4" customFormat="1" ht="31.5" x14ac:dyDescent="0.25">
      <c r="B26" s="9" t="s">
        <v>4</v>
      </c>
      <c r="C26" s="18"/>
      <c r="D26" s="19">
        <f>TTEST(D17:D22,C17:C22,2,2)</f>
        <v>3.2578082307496707E-3</v>
      </c>
      <c r="E26" s="19">
        <f>TTEST(E17:E22,C17:C22,2,2)</f>
        <v>1.0119559735433719E-2</v>
      </c>
      <c r="F26" s="19">
        <f>TTEST(F17:F22,C17:C22,2,2)</f>
        <v>0.59947031065457557</v>
      </c>
      <c r="G26" s="20">
        <f>TTEST(G17:G22,C17:C22,2,2)</f>
        <v>0.15561495634641742</v>
      </c>
    </row>
  </sheetData>
  <pageMargins left="0.7" right="0.7" top="0.75" bottom="0.75" header="0.3" footer="0.3"/>
  <pageSetup scale="6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Figure_7_source_data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Darren J. Baker, M.S., Ph.D.</dc:creator>
  <cp:lastModifiedBy>Robbyn Weaver</cp:lastModifiedBy>
  <cp:lastPrinted>2016-07-11T14:29:40Z</cp:lastPrinted>
  <dcterms:created xsi:type="dcterms:W3CDTF">2016-03-11T20:14:51Z</dcterms:created>
  <dcterms:modified xsi:type="dcterms:W3CDTF">2016-07-18T16:41:44Z</dcterms:modified>
</cp:coreProperties>
</file>